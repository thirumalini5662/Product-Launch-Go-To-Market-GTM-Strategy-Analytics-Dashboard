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AndPersonas" sheetId="1" state="visible" r:id="rId3"/>
    <sheet name="PricingModels" sheetId="2" state="visible" r:id="rId4"/>
    <sheet name="MarketingFunnel" sheetId="3" state="visible" r:id="rId5"/>
    <sheet name="LaunchRoadmap" sheetId="4" state="visible" r:id="rId6"/>
    <sheet name="KPI_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<sst xmlns="http://schemas.openxmlformats.org/spreadsheetml/2006/main" count="215" uniqueCount="173">
  <si>
    <t xml:space="preserve">Product: Smart Fitness Band for Students – GTM Strategy</t>
  </si>
  <si>
    <t xml:space="preserve">Product Info</t>
  </si>
  <si>
    <t xml:space="preserve">Smart FitBand Pro – AI Wellness + Study Tracker</t>
  </si>
  <si>
    <t xml:space="preserve">Product Name</t>
  </si>
  <si>
    <t xml:space="preserve">Smart FitBand Pro</t>
  </si>
  <si>
    <t xml:space="preserve">Value Proposition</t>
  </si>
  <si>
    <t xml:space="preserve">Helping students balance study and health with AI-powered wellness tracking</t>
  </si>
  <si>
    <t xml:space="preserve">Target Price</t>
  </si>
  <si>
    <t xml:space="preserve">₹2,499 (launch) / ₹3,499 (premium)</t>
  </si>
  <si>
    <t xml:space="preserve">Key Features</t>
  </si>
  <si>
    <t xml:space="preserve">Study timer, sleep tracker, stress sensor, hydration reminder, AI tips</t>
  </si>
  <si>
    <t xml:space="preserve">Competitors</t>
  </si>
  <si>
    <t xml:space="preserve">Fitbit Inspire 3, Mi Band 8, Noise ColorFit, boAt Wave</t>
  </si>
  <si>
    <t xml:space="preserve">USP</t>
  </si>
  <si>
    <t xml:space="preserve">Only band designed for student lifestyle with academic focus mode</t>
  </si>
  <si>
    <t xml:space="preserve">CUSTOMER PERSONAS</t>
  </si>
  <si>
    <t xml:space="preserve">Persona</t>
  </si>
  <si>
    <t xml:space="preserve">Age</t>
  </si>
  <si>
    <t xml:space="preserve">Income (₹/yr)</t>
  </si>
  <si>
    <t xml:space="preserve">Goals</t>
  </si>
  <si>
    <t xml:space="preserve">Challenges</t>
  </si>
  <si>
    <t xml:space="preserve">Preferred Channel</t>
  </si>
  <si>
    <t xml:space="preserve">The Studious Achiever</t>
  </si>
  <si>
    <t xml:space="preserve">20</t>
  </si>
  <si>
    <t xml:space="preserve">Family support ₹1,20,000</t>
  </si>
  <si>
    <t xml:space="preserve">Top grades + health balance</t>
  </si>
  <si>
    <t xml:space="preserve">Too much screen time, no exercise</t>
  </si>
  <si>
    <t xml:space="preserve">Instagram, YouTube</t>
  </si>
  <si>
    <t xml:space="preserve">The Campus Hustler</t>
  </si>
  <si>
    <t xml:space="preserve">22</t>
  </si>
  <si>
    <t xml:space="preserve">Part-time job ₹60,000</t>
  </si>
  <si>
    <t xml:space="preserve">Productivity + fitness</t>
  </si>
  <si>
    <t xml:space="preserve">Irregular sleep, stress, poor diet</t>
  </si>
  <si>
    <t xml:space="preserve">LinkedIn, Reddit</t>
  </si>
  <si>
    <t xml:space="preserve">The Health Conscious</t>
  </si>
  <si>
    <t xml:space="preserve">21</t>
  </si>
  <si>
    <t xml:space="preserve">Family support ₹1,50,000</t>
  </si>
  <si>
    <t xml:space="preserve">Wellness + academic success</t>
  </si>
  <si>
    <t xml:space="preserve">No time for gym, budget constraints</t>
  </si>
  <si>
    <t xml:space="preserve">Health blogs, Reels</t>
  </si>
  <si>
    <t xml:space="preserve">Pricing &amp; Break-Even Analysis – Smart FitBand Pro</t>
  </si>
  <si>
    <t xml:space="preserve">Pricing Model</t>
  </si>
  <si>
    <t xml:space="preserve">Unit Price (₹)</t>
  </si>
  <si>
    <t xml:space="preserve">Fixed Cost (₹)</t>
  </si>
  <si>
    <t xml:space="preserve">Variable Cost/Unit (₹)</t>
  </si>
  <si>
    <t xml:space="preserve">Units to Break-Even</t>
  </si>
  <si>
    <t xml:space="preserve">Revenue at Break-Even (₹)</t>
  </si>
  <si>
    <t xml:space="preserve">Penetration Pricing</t>
  </si>
  <si>
    <t xml:space="preserve">Standard Pricing</t>
  </si>
  <si>
    <t xml:space="preserve">Premium Pricing</t>
  </si>
  <si>
    <t xml:space="preserve">Subscription (Annual)</t>
  </si>
  <si>
    <t xml:space="preserve">REVENUE PROJECTIONS (Year 1)</t>
  </si>
  <si>
    <t xml:space="preserve">Quarter</t>
  </si>
  <si>
    <t xml:space="preserve">Units Sold</t>
  </si>
  <si>
    <t xml:space="preserve">Revenue (₹)</t>
  </si>
  <si>
    <t xml:space="preserve">COGS (₹)</t>
  </si>
  <si>
    <t xml:space="preserve">Gross Profit (₹)</t>
  </si>
  <si>
    <t xml:space="preserve">Gross Margin %</t>
  </si>
  <si>
    <t xml:space="preserve">Q1 (Launch)</t>
  </si>
  <si>
    <t xml:space="preserve">Q2</t>
  </si>
  <si>
    <t xml:space="preserve">Q3</t>
  </si>
  <si>
    <t xml:space="preserve">Q4 (Festive)</t>
  </si>
  <si>
    <t xml:space="preserve">TOTAL</t>
  </si>
  <si>
    <t xml:space="preserve">Marketing Funnel &amp; Budget Plan – FitBand Pro Launch</t>
  </si>
  <si>
    <t xml:space="preserve">Funnel Stage</t>
  </si>
  <si>
    <t xml:space="preserve">Activity</t>
  </si>
  <si>
    <t xml:space="preserve">Channel</t>
  </si>
  <si>
    <t xml:space="preserve">Budget (₹)</t>
  </si>
  <si>
    <t xml:space="preserve">Expected Reach</t>
  </si>
  <si>
    <t xml:space="preserve">Conv. Rate %</t>
  </si>
  <si>
    <t xml:space="preserve">Expected Conversions</t>
  </si>
  <si>
    <t xml:space="preserve">Awareness</t>
  </si>
  <si>
    <t xml:space="preserve">Instagram &amp; YouTube Ads</t>
  </si>
  <si>
    <t xml:space="preserve">Paid Social</t>
  </si>
  <si>
    <t xml:space="preserve">Influencer Marketing (5 micro)</t>
  </si>
  <si>
    <t xml:space="preserve">Influencer</t>
  </si>
  <si>
    <t xml:space="preserve">Google Search Ads</t>
  </si>
  <si>
    <t xml:space="preserve">Paid Search</t>
  </si>
  <si>
    <t xml:space="preserve">Interest</t>
  </si>
  <si>
    <t xml:space="preserve">Campus Ambassador Program</t>
  </si>
  <si>
    <t xml:space="preserve">Offline</t>
  </si>
  <si>
    <t xml:space="preserve">Content Blog + SEO</t>
  </si>
  <si>
    <t xml:space="preserve">Organic</t>
  </si>
  <si>
    <t xml:space="preserve">Consideration</t>
  </si>
  <si>
    <t xml:space="preserve">Email Nurture Campaigns</t>
  </si>
  <si>
    <t xml:space="preserve">Email</t>
  </si>
  <si>
    <t xml:space="preserve">Free Trial / Demo Units (50 units)</t>
  </si>
  <si>
    <t xml:space="preserve">Offline/Online</t>
  </si>
  <si>
    <t xml:space="preserve">Conversion</t>
  </si>
  <si>
    <t xml:space="preserve">Referral Program (₹200 discount)</t>
  </si>
  <si>
    <t xml:space="preserve">App</t>
  </si>
  <si>
    <t xml:space="preserve">Flash Sale Launch Day</t>
  </si>
  <si>
    <t xml:space="preserve">E-commerce</t>
  </si>
  <si>
    <t xml:space="preserve">Retention</t>
  </si>
  <si>
    <t xml:space="preserve">WhatsApp Update Campaigns</t>
  </si>
  <si>
    <t xml:space="preserve">WhatsApp</t>
  </si>
  <si>
    <t xml:space="preserve">TOTAL MARKETING BUDGET</t>
  </si>
  <si>
    <t xml:space="preserve">8-Week Product Launch Roadmap – Smart FitBand Pro</t>
  </si>
  <si>
    <t xml:space="preserve">Week</t>
  </si>
  <si>
    <t xml:space="preserve">Phase</t>
  </si>
  <si>
    <t xml:space="preserve">Owner</t>
  </si>
  <si>
    <t xml:space="preserve">Status</t>
  </si>
  <si>
    <t xml:space="preserve">Week 1</t>
  </si>
  <si>
    <t xml:space="preserve">Research</t>
  </si>
  <si>
    <t xml:space="preserve">Market research &amp; persona finalization</t>
  </si>
  <si>
    <t xml:space="preserve">Marketing Lead</t>
  </si>
  <si>
    <t xml:space="preserve">✅ Done</t>
  </si>
  <si>
    <t xml:space="preserve">Competitor pricing analysis</t>
  </si>
  <si>
    <t xml:space="preserve">Business Analyst</t>
  </si>
  <si>
    <t xml:space="preserve">Week 2</t>
  </si>
  <si>
    <t xml:space="preserve">Positioning</t>
  </si>
  <si>
    <t xml:space="preserve">Value prop &amp; messaging finalization</t>
  </si>
  <si>
    <t xml:space="preserve">Brand Team</t>
  </si>
  <si>
    <t xml:space="preserve">Website landing page design</t>
  </si>
  <si>
    <t xml:space="preserve">Tech + Design</t>
  </si>
  <si>
    <t xml:space="preserve">🔄 In Progress</t>
  </si>
  <si>
    <t xml:space="preserve">Week 3</t>
  </si>
  <si>
    <t xml:space="preserve">Pre-Launch</t>
  </si>
  <si>
    <t xml:space="preserve">Social media content calendar creation</t>
  </si>
  <si>
    <t xml:space="preserve">Social Media</t>
  </si>
  <si>
    <t xml:space="preserve">Influencer briefing &amp; contracts</t>
  </si>
  <si>
    <t xml:space="preserve">Week 4</t>
  </si>
  <si>
    <t xml:space="preserve">Campus ambassador recruitment (10 colleges)</t>
  </si>
  <si>
    <t xml:space="preserve">Field Team</t>
  </si>
  <si>
    <t xml:space="preserve">📋 Planned</t>
  </si>
  <si>
    <t xml:space="preserve">PR outreach to tech bloggers</t>
  </si>
  <si>
    <t xml:space="preserve">PR Team</t>
  </si>
  <si>
    <t xml:space="preserve">Week 5</t>
  </si>
  <si>
    <t xml:space="preserve">Soft Launch</t>
  </si>
  <si>
    <t xml:space="preserve">Beta units shipped to 50 testers</t>
  </si>
  <si>
    <t xml:space="preserve">Operations</t>
  </si>
  <si>
    <t xml:space="preserve">Feedback collection &amp; iteration</t>
  </si>
  <si>
    <t xml:space="preserve">Product Team</t>
  </si>
  <si>
    <t xml:space="preserve">Week 6</t>
  </si>
  <si>
    <t xml:space="preserve">Campaign</t>
  </si>
  <si>
    <t xml:space="preserve">Instagram + YouTube ads go live</t>
  </si>
  <si>
    <t xml:space="preserve">Digital Agency</t>
  </si>
  <si>
    <t xml:space="preserve">Email campaign to early signups</t>
  </si>
  <si>
    <t xml:space="preserve">Email Team</t>
  </si>
  <si>
    <t xml:space="preserve">Week 7</t>
  </si>
  <si>
    <t xml:space="preserve">Launch Day</t>
  </si>
  <si>
    <t xml:space="preserve">Official product launch event (hybrid)</t>
  </si>
  <si>
    <t xml:space="preserve">All Teams</t>
  </si>
  <si>
    <t xml:space="preserve">Flash sale on Amazon &amp; Flipkart</t>
  </si>
  <si>
    <t xml:space="preserve">E-com Team</t>
  </si>
  <si>
    <t xml:space="preserve">Week 8</t>
  </si>
  <si>
    <t xml:space="preserve">Post-Launch</t>
  </si>
  <si>
    <t xml:space="preserve">Review KPIs, dashboard update</t>
  </si>
  <si>
    <t xml:space="preserve">Analytics</t>
  </si>
  <si>
    <t xml:space="preserve">Referral program activation</t>
  </si>
  <si>
    <t xml:space="preserve">Marketing</t>
  </si>
  <si>
    <t xml:space="preserve">KPI Dashboard – Product Launch Success Metrics</t>
  </si>
  <si>
    <t xml:space="preserve">KPI</t>
  </si>
  <si>
    <t xml:space="preserve">Unit</t>
  </si>
  <si>
    <t xml:space="preserve">Target (Month 1)</t>
  </si>
  <si>
    <t xml:space="preserve">Actual</t>
  </si>
  <si>
    <t xml:space="preserve">Variance</t>
  </si>
  <si>
    <t xml:space="preserve">Units</t>
  </si>
  <si>
    <t xml:space="preserve">Revenue Generated</t>
  </si>
  <si>
    <t xml:space="preserve">₹</t>
  </si>
  <si>
    <t xml:space="preserve">Customers Acquired</t>
  </si>
  <si>
    <t xml:space="preserve">Users</t>
  </si>
  <si>
    <t xml:space="preserve">Conversion Rate</t>
  </si>
  <si>
    <t xml:space="preserve">%</t>
  </si>
  <si>
    <t xml:space="preserve">Cost per Acquisition (CPA)</t>
  </si>
  <si>
    <t xml:space="preserve">CSAT Score</t>
  </si>
  <si>
    <t xml:space="preserve">(1-5)</t>
  </si>
  <si>
    <t xml:space="preserve">App Downloads</t>
  </si>
  <si>
    <t xml:space="preserve">Downloads</t>
  </si>
  <si>
    <t xml:space="preserve">Social Media Reach</t>
  </si>
  <si>
    <t xml:space="preserve">Impressions</t>
  </si>
  <si>
    <t xml:space="preserve">Return Rate</t>
  </si>
  <si>
    <t xml:space="preserve">Referral Sign-ups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</si>
</sst>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.00"/>
    <numFmt numFmtId="166" formatCode="#,##0"/>
    <numFmt numFmtId="167" formatCode="0.0%"/>
    <numFmt numFmtId="168" formatCode="0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DEEFF"/>
        <bgColor rgb="FFCCFFFF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0"/>
    <col collapsed="false" customWidth="true" hidden="false" outlineLevel="0" max="3" min="3" style="0" width="28"/>
    <col collapsed="false" customWidth="true" hidden="false" outlineLevel="0" max="4" min="4" style="0" width="31"/>
    <col collapsed="false" customWidth="true" hidden="false" outlineLevel="0" max="5" min="5" style="0" width="39"/>
    <col collapsed="false" customWidth="true" hidden="false" outlineLevel="0" max="6" min="6" style="0" width="2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3"/>
    </row>
    <row r="3" customFormat="false" ht="15" hidden="false" customHeight="true" outlineLevel="0" collapsed="false">
      <c r="A3" s="4" t="s">
        <v>3</v>
      </c>
      <c r="B3" s="5" t="s">
        <v>4</v>
      </c>
      <c r="C3" s="5"/>
      <c r="D3" s="5"/>
      <c r="E3" s="5"/>
      <c r="F3" s="5"/>
    </row>
    <row r="4" customFormat="false" ht="15" hidden="false" customHeight="true" outlineLevel="0" collapsed="false">
      <c r="A4" s="6" t="s">
        <v>5</v>
      </c>
      <c r="B4" s="7" t="s">
        <v>6</v>
      </c>
      <c r="C4" s="7"/>
      <c r="D4" s="7"/>
      <c r="E4" s="7"/>
      <c r="F4" s="7"/>
    </row>
    <row r="5" customFormat="false" ht="15" hidden="false" customHeight="true" outlineLevel="0" collapsed="false">
      <c r="A5" s="4" t="s">
        <v>7</v>
      </c>
      <c r="B5" s="5" t="s">
        <v>8</v>
      </c>
      <c r="C5" s="5"/>
      <c r="D5" s="5"/>
      <c r="E5" s="5"/>
      <c r="F5" s="5"/>
    </row>
    <row r="6" customFormat="false" ht="15" hidden="false" customHeight="true" outlineLevel="0" collapsed="false">
      <c r="A6" s="6" t="s">
        <v>9</v>
      </c>
      <c r="B6" s="7" t="s">
        <v>10</v>
      </c>
      <c r="C6" s="7"/>
      <c r="D6" s="7"/>
      <c r="E6" s="7"/>
      <c r="F6" s="7"/>
    </row>
    <row r="7" customFormat="false" ht="15" hidden="false" customHeight="true" outlineLevel="0" collapsed="false">
      <c r="A7" s="4" t="s">
        <v>11</v>
      </c>
      <c r="B7" s="5" t="s">
        <v>12</v>
      </c>
      <c r="C7" s="5"/>
      <c r="D7" s="5"/>
      <c r="E7" s="5"/>
      <c r="F7" s="5"/>
    </row>
    <row r="8" customFormat="false" ht="15" hidden="false" customHeight="true" outlineLevel="0" collapsed="false">
      <c r="A8" s="6" t="s">
        <v>13</v>
      </c>
      <c r="B8" s="7" t="s">
        <v>14</v>
      </c>
      <c r="C8" s="7"/>
      <c r="D8" s="7"/>
      <c r="E8" s="7"/>
      <c r="F8" s="7"/>
    </row>
    <row r="10" customFormat="false" ht="15" hidden="false" customHeight="false" outlineLevel="0" collapsed="false">
      <c r="A10" s="8" t="s">
        <v>15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</row>
    <row r="12" customFormat="false" ht="15" hidden="false" customHeight="false" outlineLevel="0" collapsed="false">
      <c r="A12" s="9" t="s">
        <v>22</v>
      </c>
      <c r="B12" s="9" t="s">
        <v>23</v>
      </c>
      <c r="C12" s="10" t="s">
        <v>24</v>
      </c>
      <c r="D12" s="9" t="s">
        <v>25</v>
      </c>
      <c r="E12" s="9" t="s">
        <v>26</v>
      </c>
      <c r="F12" s="9" t="s">
        <v>27</v>
      </c>
    </row>
    <row r="13" customFormat="false" ht="15" hidden="false" customHeight="false" outlineLevel="0" collapsed="false">
      <c r="A13" s="11" t="s">
        <v>28</v>
      </c>
      <c r="B13" s="11" t="s">
        <v>29</v>
      </c>
      <c r="C13" s="12" t="s">
        <v>30</v>
      </c>
      <c r="D13" s="11" t="s">
        <v>31</v>
      </c>
      <c r="E13" s="11" t="s">
        <v>32</v>
      </c>
      <c r="F13" s="11" t="s">
        <v>33</v>
      </c>
    </row>
    <row r="14" customFormat="false" ht="15" hidden="false" customHeight="false" outlineLevel="0" collapsed="false">
      <c r="A14" s="9" t="s">
        <v>34</v>
      </c>
      <c r="B14" s="9" t="s">
        <v>35</v>
      </c>
      <c r="C14" s="10" t="s">
        <v>36</v>
      </c>
      <c r="D14" s="9" t="s">
        <v>37</v>
      </c>
      <c r="E14" s="9" t="s">
        <v>38</v>
      </c>
      <c r="F14" s="9" t="s">
        <v>39</v>
      </c>
    </row>
  </sheetData>
  <mergeCells count="8">
    <mergeCell ref="A1:F1"/>
    <mergeCell ref="B2:F2"/>
    <mergeCell ref="B3:F3"/>
    <mergeCell ref="B4:F4"/>
    <mergeCell ref="B5:F5"/>
    <mergeCell ref="B6:F6"/>
    <mergeCell ref="B7:F7"/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5" min="4" style="0" width="26"/>
    <col collapsed="false" customWidth="true" hidden="false" outlineLevel="0" max="6" min="6" style="0" width="29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</row>
    <row r="3" customFormat="false" ht="15" hidden="false" customHeight="false" outlineLevel="0" collapsed="false">
      <c r="A3" s="11" t="s">
        <v>47</v>
      </c>
      <c r="B3" s="13" t="n">
        <v>1999</v>
      </c>
      <c r="C3" s="13" t="n">
        <v>500000</v>
      </c>
      <c r="D3" s="13" t="n">
        <v>800</v>
      </c>
      <c r="E3" s="14" t="n">
        <f aca="false">CEILING(C3/(B3-D3),1)</f>
        <v>418</v>
      </c>
      <c r="F3" s="13" t="n">
        <f aca="false">E3*B3</f>
        <v>835582</v>
      </c>
    </row>
    <row r="4" customFormat="false" ht="15" hidden="false" customHeight="false" outlineLevel="0" collapsed="false">
      <c r="A4" s="9" t="s">
        <v>48</v>
      </c>
      <c r="B4" s="15" t="n">
        <v>2499</v>
      </c>
      <c r="C4" s="15" t="n">
        <v>500000</v>
      </c>
      <c r="D4" s="15" t="n">
        <v>800</v>
      </c>
      <c r="E4" s="16" t="n">
        <f aca="false">CEILING(C4/(B4-D4),1)</f>
        <v>295</v>
      </c>
      <c r="F4" s="15" t="n">
        <f aca="false">E4*B4</f>
        <v>737205</v>
      </c>
    </row>
    <row r="5" customFormat="false" ht="15" hidden="false" customHeight="false" outlineLevel="0" collapsed="false">
      <c r="A5" s="11" t="s">
        <v>49</v>
      </c>
      <c r="B5" s="13" t="n">
        <v>3499</v>
      </c>
      <c r="C5" s="13" t="n">
        <v>500000</v>
      </c>
      <c r="D5" s="13" t="n">
        <v>800</v>
      </c>
      <c r="E5" s="14" t="n">
        <f aca="false">CEILING(C5/(B5-D5),1)</f>
        <v>186</v>
      </c>
      <c r="F5" s="13" t="n">
        <f aca="false">E5*B5</f>
        <v>650814</v>
      </c>
    </row>
    <row r="6" customFormat="false" ht="15" hidden="false" customHeight="false" outlineLevel="0" collapsed="false">
      <c r="A6" s="9" t="s">
        <v>50</v>
      </c>
      <c r="B6" s="15" t="n">
        <v>1199</v>
      </c>
      <c r="C6" s="15" t="n">
        <v>500000</v>
      </c>
      <c r="D6" s="15" t="n">
        <v>100</v>
      </c>
      <c r="E6" s="16" t="n">
        <f aca="false">CEILING(C6/(B6-D6),1)</f>
        <v>455</v>
      </c>
      <c r="F6" s="15" t="n">
        <f aca="false">E6*B6</f>
        <v>545545</v>
      </c>
    </row>
    <row r="8" customFormat="false" ht="15" hidden="false" customHeight="false" outlineLevel="0" collapsed="false">
      <c r="A8" s="8" t="s">
        <v>51</v>
      </c>
    </row>
    <row r="9" customFormat="false" ht="15" hidden="false" customHeight="false" outlineLevel="0" collapsed="false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</row>
    <row r="11" customFormat="false" ht="15" hidden="false" customHeight="false" outlineLevel="0" collapsed="false">
      <c r="A11" s="4" t="s">
        <v>58</v>
      </c>
      <c r="B11" s="14" t="n">
        <v>500</v>
      </c>
      <c r="C11" s="17" t="n">
        <f aca="false">B11*2499</f>
        <v>1249500</v>
      </c>
      <c r="D11" s="17" t="n">
        <f aca="false">B11*800</f>
        <v>400000</v>
      </c>
      <c r="E11" s="17" t="n">
        <f aca="false">C11-D11</f>
        <v>849500</v>
      </c>
      <c r="F11" s="18" t="n">
        <f aca="false">E11/C11</f>
        <v>0.679871948779512</v>
      </c>
    </row>
    <row r="12" customFormat="false" ht="15" hidden="false" customHeight="false" outlineLevel="0" collapsed="false">
      <c r="A12" s="6" t="s">
        <v>59</v>
      </c>
      <c r="B12" s="16" t="n">
        <v>1200</v>
      </c>
      <c r="C12" s="19" t="n">
        <f aca="false">B12*2499</f>
        <v>2998800</v>
      </c>
      <c r="D12" s="19" t="n">
        <f aca="false">B12*800</f>
        <v>960000</v>
      </c>
      <c r="E12" s="19" t="n">
        <f aca="false">C12-D12</f>
        <v>2038800</v>
      </c>
      <c r="F12" s="20" t="n">
        <f aca="false">E12/C12</f>
        <v>0.679871948779512</v>
      </c>
    </row>
    <row r="13" customFormat="false" ht="15" hidden="false" customHeight="false" outlineLevel="0" collapsed="false">
      <c r="A13" s="4" t="s">
        <v>60</v>
      </c>
      <c r="B13" s="14" t="n">
        <v>2500</v>
      </c>
      <c r="C13" s="17" t="n">
        <f aca="false">B13*2499</f>
        <v>6247500</v>
      </c>
      <c r="D13" s="17" t="n">
        <f aca="false">B13*800</f>
        <v>2000000</v>
      </c>
      <c r="E13" s="17" t="n">
        <f aca="false">C13-D13</f>
        <v>4247500</v>
      </c>
      <c r="F13" s="18" t="n">
        <f aca="false">E13/C13</f>
        <v>0.679871948779512</v>
      </c>
    </row>
    <row r="14" customFormat="false" ht="15" hidden="false" customHeight="false" outlineLevel="0" collapsed="false">
      <c r="A14" s="6" t="s">
        <v>61</v>
      </c>
      <c r="B14" s="16" t="n">
        <v>4000</v>
      </c>
      <c r="C14" s="19" t="n">
        <f aca="false">B14*2499</f>
        <v>9996000</v>
      </c>
      <c r="D14" s="19" t="n">
        <f aca="false">B14*800</f>
        <v>3200000</v>
      </c>
      <c r="E14" s="19" t="n">
        <f aca="false">C14-D14</f>
        <v>6796000</v>
      </c>
      <c r="F14" s="20" t="n">
        <f aca="false">E14/C14</f>
        <v>0.679871948779512</v>
      </c>
    </row>
    <row r="15" customFormat="false" ht="15" hidden="false" customHeight="false" outlineLevel="0" collapsed="false">
      <c r="A15" s="21" t="s">
        <v>62</v>
      </c>
      <c r="B15" s="22" t="n">
        <f aca="false">SUM(B11:B14)</f>
        <v>8200</v>
      </c>
      <c r="C15" s="23" t="n">
        <f aca="false">SUM(C11:C14)</f>
        <v>20491800</v>
      </c>
      <c r="D15" s="23" t="n">
        <f aca="false">SUM(D11:D14)</f>
        <v>6560000</v>
      </c>
      <c r="E15" s="23" t="n">
        <f aca="false">SUM(E11:E14)</f>
        <v>13931800</v>
      </c>
      <c r="F15" s="24" t="n">
        <f aca="false">E15/C15</f>
        <v>0.679871948779512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4" customFormat="false" ht="15" hidden="false" customHeight="false" outlineLevel="0" collapsed="false">
      <c r="A4" s="6" t="s">
        <v>71</v>
      </c>
      <c r="B4" s="9" t="s">
        <v>72</v>
      </c>
      <c r="C4" s="9" t="s">
        <v>73</v>
      </c>
      <c r="D4" s="15" t="n">
        <v>80000</v>
      </c>
      <c r="E4" s="16" t="n">
        <v>200000</v>
      </c>
      <c r="F4" s="20" t="n">
        <v>0.03</v>
      </c>
      <c r="G4" s="25" t="n">
        <f aca="false">E4*F4</f>
        <v>6000</v>
      </c>
    </row>
    <row r="5" customFormat="false" ht="15" hidden="false" customHeight="false" outlineLevel="0" collapsed="false">
      <c r="A5" s="4" t="s">
        <v>71</v>
      </c>
      <c r="B5" s="11" t="s">
        <v>74</v>
      </c>
      <c r="C5" s="11" t="s">
        <v>75</v>
      </c>
      <c r="D5" s="13" t="n">
        <v>60000</v>
      </c>
      <c r="E5" s="14" t="n">
        <v>150000</v>
      </c>
      <c r="F5" s="18" t="n">
        <v>0.05</v>
      </c>
      <c r="G5" s="26" t="n">
        <f aca="false">E5*F5</f>
        <v>7500</v>
      </c>
    </row>
    <row r="6" customFormat="false" ht="15" hidden="false" customHeight="false" outlineLevel="0" collapsed="false">
      <c r="A6" s="6" t="s">
        <v>71</v>
      </c>
      <c r="B6" s="9" t="s">
        <v>76</v>
      </c>
      <c r="C6" s="9" t="s">
        <v>77</v>
      </c>
      <c r="D6" s="15" t="n">
        <v>40000</v>
      </c>
      <c r="E6" s="16" t="n">
        <v>80000</v>
      </c>
      <c r="F6" s="20" t="n">
        <v>0.02</v>
      </c>
      <c r="G6" s="25" t="n">
        <f aca="false">E6*F6</f>
        <v>1600</v>
      </c>
    </row>
    <row r="7" customFormat="false" ht="15" hidden="false" customHeight="false" outlineLevel="0" collapsed="false">
      <c r="A7" s="4" t="s">
        <v>78</v>
      </c>
      <c r="B7" s="11" t="s">
        <v>79</v>
      </c>
      <c r="C7" s="11" t="s">
        <v>80</v>
      </c>
      <c r="D7" s="13" t="n">
        <v>30000</v>
      </c>
      <c r="E7" s="14" t="n">
        <v>20000</v>
      </c>
      <c r="F7" s="18" t="n">
        <v>0.08</v>
      </c>
      <c r="G7" s="26" t="n">
        <f aca="false">E7*F7</f>
        <v>1600</v>
      </c>
    </row>
    <row r="8" customFormat="false" ht="15" hidden="false" customHeight="false" outlineLevel="0" collapsed="false">
      <c r="A8" s="6" t="s">
        <v>78</v>
      </c>
      <c r="B8" s="9" t="s">
        <v>81</v>
      </c>
      <c r="C8" s="9" t="s">
        <v>82</v>
      </c>
      <c r="D8" s="15" t="n">
        <v>15000</v>
      </c>
      <c r="E8" s="16" t="n">
        <v>50000</v>
      </c>
      <c r="F8" s="20" t="n">
        <v>0.01</v>
      </c>
      <c r="G8" s="25" t="n">
        <f aca="false">E8*F8</f>
        <v>500</v>
      </c>
    </row>
    <row r="9" customFormat="false" ht="15" hidden="false" customHeight="false" outlineLevel="0" collapsed="false">
      <c r="A9" s="4" t="s">
        <v>83</v>
      </c>
      <c r="B9" s="11" t="s">
        <v>84</v>
      </c>
      <c r="C9" s="11" t="s">
        <v>85</v>
      </c>
      <c r="D9" s="13" t="n">
        <v>10000</v>
      </c>
      <c r="E9" s="14" t="n">
        <v>15000</v>
      </c>
      <c r="F9" s="18" t="n">
        <v>0.12</v>
      </c>
      <c r="G9" s="26" t="n">
        <f aca="false">E9*F9</f>
        <v>1800</v>
      </c>
    </row>
    <row r="10" customFormat="false" ht="15" hidden="false" customHeight="false" outlineLevel="0" collapsed="false">
      <c r="A10" s="6" t="s">
        <v>83</v>
      </c>
      <c r="B10" s="9" t="s">
        <v>86</v>
      </c>
      <c r="C10" s="9" t="s">
        <v>87</v>
      </c>
      <c r="D10" s="15" t="n">
        <v>25000</v>
      </c>
      <c r="E10" s="16" t="n">
        <v>500</v>
      </c>
      <c r="F10" s="20" t="n">
        <v>0.2</v>
      </c>
      <c r="G10" s="25" t="n">
        <f aca="false">E10*F10</f>
        <v>100</v>
      </c>
    </row>
    <row r="11" customFormat="false" ht="15" hidden="false" customHeight="false" outlineLevel="0" collapsed="false">
      <c r="A11" s="4" t="s">
        <v>88</v>
      </c>
      <c r="B11" s="11" t="s">
        <v>89</v>
      </c>
      <c r="C11" s="11" t="s">
        <v>90</v>
      </c>
      <c r="D11" s="13" t="n">
        <v>20000</v>
      </c>
      <c r="E11" s="14" t="n">
        <v>10000</v>
      </c>
      <c r="F11" s="18" t="n">
        <v>0.15</v>
      </c>
      <c r="G11" s="26" t="n">
        <f aca="false">E11*F11</f>
        <v>1500</v>
      </c>
    </row>
    <row r="12" customFormat="false" ht="15" hidden="false" customHeight="false" outlineLevel="0" collapsed="false">
      <c r="A12" s="6" t="s">
        <v>88</v>
      </c>
      <c r="B12" s="9" t="s">
        <v>91</v>
      </c>
      <c r="C12" s="9" t="s">
        <v>92</v>
      </c>
      <c r="D12" s="15" t="n">
        <v>0</v>
      </c>
      <c r="E12" s="16" t="n">
        <v>50000</v>
      </c>
      <c r="F12" s="20" t="n">
        <v>0.08</v>
      </c>
      <c r="G12" s="25" t="n">
        <f aca="false">E12*F12</f>
        <v>4000</v>
      </c>
    </row>
    <row r="13" customFormat="false" ht="15" hidden="false" customHeight="false" outlineLevel="0" collapsed="false">
      <c r="A13" s="4" t="s">
        <v>93</v>
      </c>
      <c r="B13" s="11" t="s">
        <v>94</v>
      </c>
      <c r="C13" s="11" t="s">
        <v>95</v>
      </c>
      <c r="D13" s="13" t="n">
        <v>5000</v>
      </c>
      <c r="E13" s="14" t="n">
        <v>8000</v>
      </c>
      <c r="F13" s="18" t="n">
        <v>0.25</v>
      </c>
      <c r="G13" s="26" t="n">
        <f aca="false">E13*F13</f>
        <v>2000</v>
      </c>
    </row>
    <row r="14" customFormat="false" ht="15" hidden="false" customHeight="false" outlineLevel="0" collapsed="false">
      <c r="A14" s="8" t="s">
        <v>96</v>
      </c>
      <c r="D14" s="27" t="n">
        <f aca="false">SUM(D4:D13)</f>
        <v>285000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47"/>
    <col collapsed="false" customWidth="true" hidden="false" outlineLevel="0" max="4" min="4" style="0" width="20"/>
    <col collapsed="false" customWidth="true" hidden="false" outlineLevel="0" max="5" min="5" style="0" width="17"/>
  </cols>
  <sheetData>
    <row r="1" customFormat="false" ht="27.75" hidden="false" customHeight="true" outlineLevel="0" collapsed="false">
      <c r="A1" s="1" t="s">
        <v>97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98</v>
      </c>
      <c r="B2" s="2" t="s">
        <v>99</v>
      </c>
      <c r="C2" s="2" t="s">
        <v>65</v>
      </c>
      <c r="D2" s="2" t="s">
        <v>100</v>
      </c>
      <c r="E2" s="2" t="s">
        <v>101</v>
      </c>
    </row>
    <row r="3" customFormat="false" ht="15" hidden="false" customHeight="false" outlineLevel="0" collapsed="false">
      <c r="A3" s="28" t="s">
        <v>102</v>
      </c>
      <c r="B3" s="11" t="s">
        <v>103</v>
      </c>
      <c r="C3" s="11" t="s">
        <v>104</v>
      </c>
      <c r="D3" s="11" t="s">
        <v>105</v>
      </c>
      <c r="E3" s="11" t="s">
        <v>106</v>
      </c>
    </row>
    <row r="4" customFormat="false" ht="15" hidden="false" customHeight="false" outlineLevel="0" collapsed="false">
      <c r="A4" s="29" t="s">
        <v>102</v>
      </c>
      <c r="B4" s="9" t="s">
        <v>103</v>
      </c>
      <c r="C4" s="9" t="s">
        <v>107</v>
      </c>
      <c r="D4" s="9" t="s">
        <v>108</v>
      </c>
      <c r="E4" s="9" t="s">
        <v>106</v>
      </c>
    </row>
    <row r="5" customFormat="false" ht="15" hidden="false" customHeight="false" outlineLevel="0" collapsed="false">
      <c r="A5" s="28" t="s">
        <v>109</v>
      </c>
      <c r="B5" s="11" t="s">
        <v>110</v>
      </c>
      <c r="C5" s="11" t="s">
        <v>111</v>
      </c>
      <c r="D5" s="11" t="s">
        <v>112</v>
      </c>
      <c r="E5" s="11" t="s">
        <v>106</v>
      </c>
    </row>
    <row r="6" customFormat="false" ht="15" hidden="false" customHeight="false" outlineLevel="0" collapsed="false">
      <c r="A6" s="29" t="s">
        <v>109</v>
      </c>
      <c r="B6" s="9" t="s">
        <v>110</v>
      </c>
      <c r="C6" s="9" t="s">
        <v>113</v>
      </c>
      <c r="D6" s="9" t="s">
        <v>114</v>
      </c>
      <c r="E6" s="9" t="s">
        <v>115</v>
      </c>
    </row>
    <row r="7" customFormat="false" ht="15" hidden="false" customHeight="false" outlineLevel="0" collapsed="false">
      <c r="A7" s="28" t="s">
        <v>116</v>
      </c>
      <c r="B7" s="11" t="s">
        <v>117</v>
      </c>
      <c r="C7" s="11" t="s">
        <v>118</v>
      </c>
      <c r="D7" s="11" t="s">
        <v>119</v>
      </c>
      <c r="E7" s="11" t="s">
        <v>115</v>
      </c>
    </row>
    <row r="8" customFormat="false" ht="15" hidden="false" customHeight="false" outlineLevel="0" collapsed="false">
      <c r="A8" s="29" t="s">
        <v>116</v>
      </c>
      <c r="B8" s="9" t="s">
        <v>117</v>
      </c>
      <c r="C8" s="9" t="s">
        <v>120</v>
      </c>
      <c r="D8" s="9" t="s">
        <v>105</v>
      </c>
      <c r="E8" s="9" t="s">
        <v>115</v>
      </c>
    </row>
    <row r="9" customFormat="false" ht="15" hidden="false" customHeight="false" outlineLevel="0" collapsed="false">
      <c r="A9" s="28" t="s">
        <v>121</v>
      </c>
      <c r="B9" s="11" t="s">
        <v>117</v>
      </c>
      <c r="C9" s="11" t="s">
        <v>122</v>
      </c>
      <c r="D9" s="11" t="s">
        <v>123</v>
      </c>
      <c r="E9" s="11" t="s">
        <v>124</v>
      </c>
    </row>
    <row r="10" customFormat="false" ht="15" hidden="false" customHeight="false" outlineLevel="0" collapsed="false">
      <c r="A10" s="29" t="s">
        <v>121</v>
      </c>
      <c r="B10" s="9" t="s">
        <v>117</v>
      </c>
      <c r="C10" s="9" t="s">
        <v>125</v>
      </c>
      <c r="D10" s="9" t="s">
        <v>126</v>
      </c>
      <c r="E10" s="9" t="s">
        <v>124</v>
      </c>
    </row>
    <row r="11" customFormat="false" ht="15" hidden="false" customHeight="false" outlineLevel="0" collapsed="false">
      <c r="A11" s="28" t="s">
        <v>127</v>
      </c>
      <c r="B11" s="11" t="s">
        <v>128</v>
      </c>
      <c r="C11" s="11" t="s">
        <v>129</v>
      </c>
      <c r="D11" s="11" t="s">
        <v>130</v>
      </c>
      <c r="E11" s="11" t="s">
        <v>124</v>
      </c>
    </row>
    <row r="12" customFormat="false" ht="15" hidden="false" customHeight="false" outlineLevel="0" collapsed="false">
      <c r="A12" s="29" t="s">
        <v>127</v>
      </c>
      <c r="B12" s="9" t="s">
        <v>128</v>
      </c>
      <c r="C12" s="9" t="s">
        <v>131</v>
      </c>
      <c r="D12" s="9" t="s">
        <v>132</v>
      </c>
      <c r="E12" s="9" t="s">
        <v>124</v>
      </c>
    </row>
    <row r="13" customFormat="false" ht="15" hidden="false" customHeight="false" outlineLevel="0" collapsed="false">
      <c r="A13" s="28" t="s">
        <v>133</v>
      </c>
      <c r="B13" s="11" t="s">
        <v>134</v>
      </c>
      <c r="C13" s="11" t="s">
        <v>135</v>
      </c>
      <c r="D13" s="11" t="s">
        <v>136</v>
      </c>
      <c r="E13" s="11" t="s">
        <v>124</v>
      </c>
    </row>
    <row r="14" customFormat="false" ht="15" hidden="false" customHeight="false" outlineLevel="0" collapsed="false">
      <c r="A14" s="29" t="s">
        <v>133</v>
      </c>
      <c r="B14" s="9" t="s">
        <v>134</v>
      </c>
      <c r="C14" s="9" t="s">
        <v>137</v>
      </c>
      <c r="D14" s="9" t="s">
        <v>138</v>
      </c>
      <c r="E14" s="9" t="s">
        <v>124</v>
      </c>
    </row>
    <row r="15" customFormat="false" ht="15" hidden="false" customHeight="false" outlineLevel="0" collapsed="false">
      <c r="A15" s="28" t="s">
        <v>139</v>
      </c>
      <c r="B15" s="11" t="s">
        <v>140</v>
      </c>
      <c r="C15" s="11" t="s">
        <v>141</v>
      </c>
      <c r="D15" s="11" t="s">
        <v>142</v>
      </c>
      <c r="E15" s="11" t="s">
        <v>124</v>
      </c>
    </row>
    <row r="16" customFormat="false" ht="15" hidden="false" customHeight="false" outlineLevel="0" collapsed="false">
      <c r="A16" s="29" t="s">
        <v>139</v>
      </c>
      <c r="B16" s="9" t="s">
        <v>140</v>
      </c>
      <c r="C16" s="9" t="s">
        <v>143</v>
      </c>
      <c r="D16" s="9" t="s">
        <v>144</v>
      </c>
      <c r="E16" s="9" t="s">
        <v>124</v>
      </c>
    </row>
    <row r="17" customFormat="false" ht="15" hidden="false" customHeight="false" outlineLevel="0" collapsed="false">
      <c r="A17" s="28" t="s">
        <v>145</v>
      </c>
      <c r="B17" s="11" t="s">
        <v>146</v>
      </c>
      <c r="C17" s="11" t="s">
        <v>147</v>
      </c>
      <c r="D17" s="11" t="s">
        <v>148</v>
      </c>
      <c r="E17" s="11" t="s">
        <v>124</v>
      </c>
    </row>
    <row r="18" customFormat="false" ht="15" hidden="false" customHeight="false" outlineLevel="0" collapsed="false">
      <c r="A18" s="29" t="s">
        <v>145</v>
      </c>
      <c r="B18" s="9" t="s">
        <v>146</v>
      </c>
      <c r="C18" s="9" t="s">
        <v>149</v>
      </c>
      <c r="D18" s="9" t="s">
        <v>150</v>
      </c>
      <c r="E18" s="9" t="s">
        <v>124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47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101</v>
      </c>
    </row>
    <row r="3" customFormat="false" ht="15" hidden="false" customHeight="false" outlineLevel="0" collapsed="false">
      <c r="A3" s="4" t="s">
        <v>53</v>
      </c>
      <c r="B3" s="28" t="s">
        <v>157</v>
      </c>
      <c r="C3" s="30" t="n">
        <v>500</v>
      </c>
      <c r="D3" s="30" t="n">
        <v>380</v>
      </c>
      <c r="E3" s="30" t="n">
        <f aca="false">D3-C3</f>
        <v>-120</v>
      </c>
      <c r="F3" s="31" t="str">
        <f aca="false">IF(D3&gt;=C3,"✅ On Track","⚠ Below Target")</f>
        <v>⚠ Below Target</v>
      </c>
    </row>
    <row r="4" customFormat="false" ht="15" hidden="false" customHeight="false" outlineLevel="0" collapsed="false">
      <c r="A4" s="6" t="s">
        <v>158</v>
      </c>
      <c r="B4" s="29" t="s">
        <v>159</v>
      </c>
      <c r="C4" s="19" t="n">
        <f aca="false">C3*2499</f>
        <v>1249500</v>
      </c>
      <c r="D4" s="19" t="n">
        <f aca="false">D3*2499</f>
        <v>949620</v>
      </c>
      <c r="E4" s="19" t="n">
        <f aca="false">D4-C4</f>
        <v>-299880</v>
      </c>
      <c r="F4" s="32" t="str">
        <f aca="false">IF(D3&gt;=C3,"✅ On Track","⚠ Below Target")</f>
        <v>⚠ Below Target</v>
      </c>
    </row>
    <row r="5" customFormat="false" ht="15" hidden="false" customHeight="false" outlineLevel="0" collapsed="false">
      <c r="A5" s="4" t="s">
        <v>160</v>
      </c>
      <c r="B5" s="28" t="s">
        <v>161</v>
      </c>
      <c r="C5" s="30" t="n">
        <v>450</v>
      </c>
      <c r="D5" s="30" t="n">
        <v>310</v>
      </c>
      <c r="E5" s="30" t="n">
        <f aca="false">D5-C5</f>
        <v>-140</v>
      </c>
      <c r="F5" s="31" t="str">
        <f aca="false">IF(D5&gt;=C5,"✅ On Track","⚠ Below Target")</f>
        <v>⚠ Below Target</v>
      </c>
    </row>
    <row r="6" customFormat="false" ht="15" hidden="false" customHeight="false" outlineLevel="0" collapsed="false">
      <c r="A6" s="6" t="s">
        <v>162</v>
      </c>
      <c r="B6" s="29" t="s">
        <v>163</v>
      </c>
      <c r="C6" s="20" t="n">
        <v>0.05</v>
      </c>
      <c r="D6" s="20" t="n">
        <v>0.038</v>
      </c>
      <c r="E6" s="20" t="n">
        <f aca="false">D6-C6</f>
        <v>-0.012</v>
      </c>
      <c r="F6" s="32" t="str">
        <f aca="false">IF(D6&gt;=C6,"✅ On Track","⚠ Below Target")</f>
        <v>⚠ Below Target</v>
      </c>
    </row>
    <row r="7" customFormat="false" ht="15" hidden="false" customHeight="false" outlineLevel="0" collapsed="false">
      <c r="A7" s="4" t="s">
        <v>164</v>
      </c>
      <c r="B7" s="28" t="s">
        <v>159</v>
      </c>
      <c r="C7" s="17" t="n">
        <v>800</v>
      </c>
      <c r="D7" s="17" t="n">
        <v>920</v>
      </c>
      <c r="E7" s="17" t="n">
        <f aca="false">D7-C7</f>
        <v>120</v>
      </c>
      <c r="F7" s="31" t="str">
        <f aca="false">IF(D7&lt;=C7,"✅ On Track","⚠ Above Target")</f>
        <v>⚠ Above Target</v>
      </c>
    </row>
    <row r="8" customFormat="false" ht="15" hidden="false" customHeight="false" outlineLevel="0" collapsed="false">
      <c r="A8" s="6" t="s">
        <v>165</v>
      </c>
      <c r="B8" s="29" t="s">
        <v>166</v>
      </c>
      <c r="C8" s="33" t="n">
        <v>4.2</v>
      </c>
      <c r="D8" s="33" t="n">
        <v>3.9</v>
      </c>
      <c r="E8" s="33" t="n">
        <f aca="false">D8-C8</f>
        <v>-0.3</v>
      </c>
      <c r="F8" s="32" t="str">
        <f aca="false">IF(D8&gt;=C8,"✅ On Track","⚠ Below Target")</f>
        <v>⚠ Below Target</v>
      </c>
    </row>
    <row r="9" customFormat="false" ht="15" hidden="false" customHeight="false" outlineLevel="0" collapsed="false">
      <c r="A9" s="4" t="s">
        <v>167</v>
      </c>
      <c r="B9" s="28" t="s">
        <v>168</v>
      </c>
      <c r="C9" s="30" t="n">
        <v>3000</v>
      </c>
      <c r="D9" s="30" t="n">
        <v>2100</v>
      </c>
      <c r="E9" s="30" t="n">
        <f aca="false">D9-C9</f>
        <v>-900</v>
      </c>
      <c r="F9" s="31" t="str">
        <f aca="false">IF(D9&gt;=C9,"✅ On Track","⚠ Below Target")</f>
        <v>⚠ Below Target</v>
      </c>
    </row>
    <row r="10" customFormat="false" ht="15" hidden="false" customHeight="false" outlineLevel="0" collapsed="false">
      <c r="A10" s="6" t="s">
        <v>169</v>
      </c>
      <c r="B10" s="29" t="s">
        <v>170</v>
      </c>
      <c r="C10" s="34" t="n">
        <v>500000</v>
      </c>
      <c r="D10" s="34" t="n">
        <v>420000</v>
      </c>
      <c r="E10" s="34" t="n">
        <f aca="false">D10-C10</f>
        <v>-80000</v>
      </c>
      <c r="F10" s="32" t="str">
        <f aca="false">IF(D10&gt;=C10,"✅ On Track","⚠ Below Target")</f>
        <v>⚠ Below Target</v>
      </c>
    </row>
    <row r="11" customFormat="false" ht="15" hidden="false" customHeight="false" outlineLevel="0" collapsed="false">
      <c r="A11" s="4" t="s">
        <v>171</v>
      </c>
      <c r="B11" s="28" t="s">
        <v>163</v>
      </c>
      <c r="C11" s="18" t="n">
        <v>0.05</v>
      </c>
      <c r="D11" s="18" t="n">
        <v>0.07</v>
      </c>
      <c r="E11" s="18" t="n">
        <f aca="false">D11-C11</f>
        <v>0.02</v>
      </c>
      <c r="F11" s="31" t="str">
        <f aca="false">IF(D11&lt;=C11,"✅ On Track","⚠ Above Target")</f>
        <v>⚠ Above Target</v>
      </c>
    </row>
    <row r="12" customFormat="false" ht="15" hidden="false" customHeight="false" outlineLevel="0" collapsed="false">
      <c r="A12" s="6" t="s">
        <v>172</v>
      </c>
      <c r="B12" s="29" t="s">
        <v>161</v>
      </c>
      <c r="C12" s="34" t="n">
        <v>100</v>
      </c>
      <c r="D12" s="34" t="n">
        <v>65</v>
      </c>
      <c r="E12" s="34" t="n">
        <f aca="false">D12-C12</f>
        <v>-35</v>
      </c>
      <c r="F12" s="32" t="str">
        <f aca="false">IF(D12&gt;=C12,"✅ On Track","⚠ Below Target")</f>
        <v>⚠ Below Target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2026-06-18T12:17:33Z</dcterms:created>
  <dc:creator>openpyxl</dc:creator>
  <dc:description/>
  <dc:language>en-US</dc:language>
  <cp:lastModifiedBy/>
  <dcterms:modified xsi:type="dcterms:W3CDTF">2026-06-18T12:17:33Z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